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y mar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&quot;US$&quot; #,##0.00;(&quot;US$&quot; #,##0.00);-"/>
    <numFmt numFmtId="166" formatCode="0.0%;(0.0%);-"/>
    <numFmt numFmtId="167" formatCode="&quot;$&quot; #,##0;(&quot;$&quot; #,##0);-"/>
    <numFmt numFmtId="168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B6270"/>
    </font>
    <font>
      <name val="Arial"/>
      <b val="1"/>
      <color rgb="00FFFFFF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</font>
    <font>
      <name val="Arial"/>
      <color rgb="005B6270"/>
      <sz val="9"/>
    </font>
  </fonts>
  <fills count="6">
    <fill>
      <patternFill/>
    </fill>
    <fill>
      <patternFill patternType="gray125"/>
    </fill>
    <fill>
      <patternFill patternType="solid">
        <fgColor rgb="0014161A"/>
      </patternFill>
    </fill>
    <fill>
      <patternFill patternType="solid">
        <fgColor rgb="00EAF0FF"/>
      </patternFill>
    </fill>
    <fill>
      <patternFill patternType="solid">
        <fgColor rgb="00FFFF00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6" fillId="0" borderId="1" pivotButton="0" quotePrefix="0" xfId="0"/>
    <xf numFmtId="164" fontId="7" fillId="0" borderId="1" pivotButton="0" quotePrefix="0" xfId="0"/>
    <xf numFmtId="0" fontId="8" fillId="0" borderId="0" applyAlignment="1" pivotButton="0" quotePrefix="0" xfId="0">
      <alignment vertical="top" wrapText="1"/>
    </xf>
    <xf numFmtId="164" fontId="6" fillId="4" borderId="1" pivotButton="0" quotePrefix="0" xfId="0"/>
    <xf numFmtId="165" fontId="6" fillId="0" borderId="1" pivotButton="0" quotePrefix="0" xfId="0"/>
    <xf numFmtId="165" fontId="6" fillId="4" borderId="1" pivotButton="0" quotePrefix="0" xfId="0"/>
    <xf numFmtId="166" fontId="6" fillId="0" borderId="1" pivotButton="0" quotePrefix="0" xfId="0"/>
    <xf numFmtId="165" fontId="7" fillId="0" borderId="1" pivotButton="0" quotePrefix="0" xfId="0"/>
    <xf numFmtId="0" fontId="4" fillId="0" borderId="0" pivotButton="0" quotePrefix="0" xfId="0"/>
    <xf numFmtId="165" fontId="4" fillId="5" borderId="1" pivotButton="0" quotePrefix="0" xfId="0"/>
    <xf numFmtId="167" fontId="4" fillId="5" borderId="1" pivotButton="0" quotePrefix="0" xfId="0"/>
    <xf numFmtId="167" fontId="6" fillId="0" borderId="1" pivotButton="0" quotePrefix="0" xfId="0"/>
    <xf numFmtId="167" fontId="7" fillId="0" borderId="1" pivotButton="0" quotePrefix="0" xfId="0"/>
    <xf numFmtId="166" fontId="6" fillId="4" borderId="1" pivotButton="0" quotePrefix="0" xfId="0"/>
    <xf numFmtId="166" fontId="7" fillId="4" borderId="1" pivotButton="0" quotePrefix="0" xfId="0"/>
    <xf numFmtId="167" fontId="6" fillId="4" borderId="1" pivotButton="0" quotePrefix="0" xfId="0"/>
    <xf numFmtId="167" fontId="7" fillId="4" borderId="1" pivotButton="0" quotePrefix="0" xfId="0"/>
    <xf numFmtId="166" fontId="4" fillId="5" borderId="1" pivotButton="0" quotePrefix="0" xfId="0"/>
    <xf numFmtId="168" fontId="7" fillId="0" borderId="1" pivotButton="0" quotePrefix="0" xfId="0"/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Nekova</author>
  </authors>
  <commentList>
    <comment ref="B41" authorId="0" shapeId="0">
      <text>
        <t>Costo máximo por venta en anuncios para no perder plata.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2" customWidth="1" min="4" max="4"/>
  </cols>
  <sheetData>
    <row r="1">
      <c r="A1" s="1" t="inlineStr">
        <is>
          <t>Nekova · Cojín ergonómico en U: costo puesto y margen por unidad</t>
        </is>
      </c>
    </row>
    <row r="2">
      <c r="A2" s="2" t="inlineStr">
        <is>
          <t>Celdas en azul = datos que podés cambiar. Fondo amarillo = supuesto a confirmar. Negro = fórmula (no tocar).</t>
        </is>
      </c>
    </row>
    <row r="4" ht="22" customHeight="1">
      <c r="A4" s="3" t="inlineStr">
        <is>
          <t>Concepto</t>
        </is>
      </c>
      <c r="B4" s="4" t="inlineStr">
        <is>
          <t>Prueba aérea (courier)</t>
        </is>
      </c>
      <c r="C4" s="4" t="inlineStr">
        <is>
          <t>Barco (estimado)</t>
        </is>
      </c>
      <c r="D4" s="3" t="inlineStr">
        <is>
          <t>Notas / fuente</t>
        </is>
      </c>
    </row>
    <row r="5">
      <c r="A5" s="5" t="inlineStr">
        <is>
          <t>1. Importación (datos)</t>
        </is>
      </c>
      <c r="B5" s="6" t="n"/>
      <c r="C5" s="6" t="n"/>
      <c r="D5" s="6" t="n"/>
    </row>
    <row r="6">
      <c r="A6" s="7" t="inlineStr">
        <is>
          <t>Dólar (ARS por USD)</t>
        </is>
      </c>
      <c r="B6" s="8" t="n">
        <v>1500</v>
      </c>
      <c r="C6" s="9">
        <f>B6</f>
        <v/>
      </c>
      <c r="D6" s="10" t="inlineStr">
        <is>
          <t>Dato del usuario (14/10/2026). La columna Barco toma el mismo valor.</t>
        </is>
      </c>
    </row>
    <row r="7">
      <c r="A7" s="7" t="inlineStr">
        <is>
          <t>Unidades del pedido</t>
        </is>
      </c>
      <c r="B7" s="8" t="n">
        <v>40</v>
      </c>
      <c r="C7" s="11" t="n">
        <v>500</v>
      </c>
      <c r="D7" s="10" t="inlineStr">
        <is>
          <t>Aéreo: proforma BWAU1226098. Barco: cantidad de ejemplo.</t>
        </is>
      </c>
    </row>
    <row r="8">
      <c r="A8" s="7" t="inlineStr">
        <is>
          <t>Precio unitario FOB (USD)</t>
        </is>
      </c>
      <c r="B8" s="12" t="n">
        <v>5.5</v>
      </c>
      <c r="C8" s="12" t="n">
        <v>5.5</v>
      </c>
      <c r="D8" s="10" t="inlineStr">
        <is>
          <t>Proforma Yiwu Bewalker: US$ 5,50 (gris). En volumen podría bajar: negociar.</t>
        </is>
      </c>
    </row>
    <row r="9">
      <c r="A9" s="7" t="inlineStr">
        <is>
          <t>Flete internacional total (USD)</t>
        </is>
      </c>
      <c r="B9" s="12" t="n">
        <v>540</v>
      </c>
      <c r="C9" s="13" t="n">
        <v>600</v>
      </c>
      <c r="D9" s="10" t="inlineStr">
        <is>
          <t>Aéreo: proforma (shipping cost 40 pcs). Barco: estimación LCL; pedir cotización real al despachante.</t>
        </is>
      </c>
    </row>
    <row r="10">
      <c r="A10" s="7" t="inlineStr">
        <is>
          <t>Seguro (% sobre FOB + flete)</t>
        </is>
      </c>
      <c r="B10" s="14" t="n">
        <v>0.01</v>
      </c>
      <c r="C10" s="14" t="n">
        <v>0.01</v>
      </c>
      <c r="D10" s="10" t="inlineStr">
        <is>
          <t>Planilla del despachante (1%). Solo para valuación aduanera.</t>
        </is>
      </c>
    </row>
    <row r="11">
      <c r="A11" s="7" t="inlineStr">
        <is>
          <t>Tasa estadística (%)</t>
        </is>
      </c>
      <c r="B11" s="14" t="n">
        <v>0.03</v>
      </c>
      <c r="C11" s="14" t="n">
        <v>0.03</v>
      </c>
      <c r="D11" s="10" t="inlineStr">
        <is>
          <t>Planilla del despachante.</t>
        </is>
      </c>
    </row>
    <row r="12">
      <c r="A12" s="7" t="inlineStr">
        <is>
          <t>Derecho de importación (%)</t>
        </is>
      </c>
      <c r="B12" s="14" t="n">
        <v>0.18</v>
      </c>
      <c r="C12" s="14" t="n">
        <v>0.18</v>
      </c>
      <c r="D12" s="10" t="inlineStr">
        <is>
          <t>Planilla del despachante (18%).</t>
        </is>
      </c>
    </row>
    <row r="13">
      <c r="A13" s="7" t="inlineStr">
        <is>
          <t>IVA importación (%)</t>
        </is>
      </c>
      <c r="B13" s="14" t="n">
        <v>0.21</v>
      </c>
      <c r="C13" s="14" t="n">
        <v>0.21</v>
      </c>
      <c r="D13" s="10" t="inlineStr">
        <is>
          <t>Planilla del despachante.</t>
        </is>
      </c>
    </row>
    <row r="14">
      <c r="A14" s="7" t="inlineStr">
        <is>
          <t>IVA de importación es costo (1 = sí, 0 = no)</t>
        </is>
      </c>
      <c r="B14" s="8" t="n">
        <v>1</v>
      </c>
      <c r="C14" s="9">
        <f>B14</f>
        <v/>
      </c>
      <c r="D14" s="10" t="inlineStr">
        <is>
          <t>1 si sos monotributista. 0 si sos responsable inscripto (es crédito fiscal). Confirmar con el contador.</t>
        </is>
      </c>
    </row>
    <row r="15">
      <c r="A15" s="7" t="inlineStr">
        <is>
          <t>Honorarios despachante / courier (USD)</t>
        </is>
      </c>
      <c r="B15" s="12" t="n">
        <v>60</v>
      </c>
      <c r="C15" s="13" t="n">
        <v>900</v>
      </c>
      <c r="D15" s="10" t="inlineStr">
        <is>
          <t>Aéreo: planilla del despachante. Barco: estimación (despachante, puerto, depósito); pedir cotización.</t>
        </is>
      </c>
    </row>
    <row r="16">
      <c r="A16" s="7" t="inlineStr">
        <is>
          <t>Flete interno y otros gastos (USD)</t>
        </is>
      </c>
      <c r="B16" s="12" t="n">
        <v>0</v>
      </c>
      <c r="C16" s="13" t="n">
        <v>300</v>
      </c>
      <c r="D16" s="10" t="inlineStr">
        <is>
          <t>Retiro del puerto o aeropuerto hasta tu depósito, etc. Estimación.</t>
        </is>
      </c>
    </row>
    <row r="17">
      <c r="A17" s="5" t="inlineStr">
        <is>
          <t>2. Costo puesto en Argentina (fórmulas)</t>
        </is>
      </c>
      <c r="B17" s="6" t="n"/>
      <c r="C17" s="6" t="n"/>
      <c r="D17" s="6" t="n"/>
    </row>
    <row r="18">
      <c r="A18" s="7" t="inlineStr">
        <is>
          <t>Valor FOB (USD)</t>
        </is>
      </c>
      <c r="B18" s="15">
        <f>B7*B8</f>
        <v/>
      </c>
      <c r="C18" s="15">
        <f>C7*C8</f>
        <v/>
      </c>
      <c r="D18" s="10" t="inlineStr"/>
    </row>
    <row r="19">
      <c r="A19" s="7" t="inlineStr">
        <is>
          <t>Seguro (USD)</t>
        </is>
      </c>
      <c r="B19" s="15">
        <f>(B18+B9)*B10</f>
        <v/>
      </c>
      <c r="C19" s="15">
        <f>(C18+C9)*C10</f>
        <v/>
      </c>
      <c r="D19" s="10" t="inlineStr"/>
    </row>
    <row r="20">
      <c r="A20" s="7" t="inlineStr">
        <is>
          <t>Valor CIF (USD)</t>
        </is>
      </c>
      <c r="B20" s="15">
        <f>B18+B9+B19</f>
        <v/>
      </c>
      <c r="C20" s="15">
        <f>C18+C9+C19</f>
        <v/>
      </c>
      <c r="D20" s="10" t="inlineStr">
        <is>
          <t>Coincide con la planilla del despachante (US$ 767,60 en la prueba aérea).</t>
        </is>
      </c>
    </row>
    <row r="21">
      <c r="A21" s="7" t="inlineStr">
        <is>
          <t>Tasa estadística (USD)</t>
        </is>
      </c>
      <c r="B21" s="15">
        <f>B20*B11</f>
        <v/>
      </c>
      <c r="C21" s="15">
        <f>C20*C11</f>
        <v/>
      </c>
      <c r="D21" s="10" t="inlineStr"/>
    </row>
    <row r="22">
      <c r="A22" s="7" t="inlineStr">
        <is>
          <t>Derecho de importación (USD)</t>
        </is>
      </c>
      <c r="B22" s="15">
        <f>B20*B12</f>
        <v/>
      </c>
      <c r="C22" s="15">
        <f>C20*C12</f>
        <v/>
      </c>
      <c r="D22" s="10" t="inlineStr"/>
    </row>
    <row r="23">
      <c r="A23" s="7" t="inlineStr">
        <is>
          <t>IVA importación (USD)</t>
        </is>
      </c>
      <c r="B23" s="15">
        <f>(B20+B21+B22)*B13</f>
        <v/>
      </c>
      <c r="C23" s="15">
        <f>(C20+C21+C22)*C13</f>
        <v/>
      </c>
      <c r="D23" s="10" t="inlineStr"/>
    </row>
    <row r="24">
      <c r="A24" s="7" t="inlineStr">
        <is>
          <t>Impuestos y honorarios a pagar (USD)</t>
        </is>
      </c>
      <c r="B24" s="15">
        <f>B21+B22+B23+B15</f>
        <v/>
      </c>
      <c r="C24" s="15">
        <f>C21+C22+C23+C15</f>
        <v/>
      </c>
      <c r="D24" s="10" t="inlineStr">
        <is>
          <t>Aéreo: debe dar US$ 416,24 (planilla del despachante).</t>
        </is>
      </c>
    </row>
    <row r="25">
      <c r="A25" s="16" t="inlineStr">
        <is>
          <t>Costo total del pedido (USD)</t>
        </is>
      </c>
      <c r="B25" s="17">
        <f>B18+B9+B21+B22+B23*B14+B15+B16</f>
        <v/>
      </c>
      <c r="C25" s="17">
        <f>C18+C9+C21+C22+C23*C14+C15+C16</f>
        <v/>
      </c>
      <c r="D25" s="10" t="inlineStr">
        <is>
          <t>El seguro no se suma: solo integra la base de cálculo.</t>
        </is>
      </c>
    </row>
    <row r="26">
      <c r="A26" s="16" t="inlineStr">
        <is>
          <t>Costo puesto por unidad (USD)</t>
        </is>
      </c>
      <c r="B26" s="17">
        <f>IF(B7&gt;0,B25/B7,0)</f>
        <v/>
      </c>
      <c r="C26" s="17">
        <f>IF(C7&gt;0,C25/C7,0)</f>
        <v/>
      </c>
      <c r="D26" s="10" t="inlineStr"/>
    </row>
    <row r="27">
      <c r="A27" s="16" t="inlineStr">
        <is>
          <t>Costo puesto por unidad (ARS)</t>
        </is>
      </c>
      <c r="B27" s="18">
        <f>B26*B6</f>
        <v/>
      </c>
      <c r="C27" s="18">
        <f>C26*C6</f>
        <v/>
      </c>
      <c r="D27" s="10" t="inlineStr"/>
    </row>
    <row r="28">
      <c r="A28" s="5" t="inlineStr">
        <is>
          <t>3. Venta (datos por unidad)</t>
        </is>
      </c>
      <c r="B28" s="6" t="n"/>
      <c r="C28" s="6" t="n"/>
      <c r="D28" s="6" t="n"/>
    </row>
    <row r="29">
      <c r="A29" s="7" t="inlineStr">
        <is>
          <t>Precio de venta (ARS)</t>
        </is>
      </c>
      <c r="B29" s="19" t="n">
        <v>79000</v>
      </c>
      <c r="C29" s="20">
        <f>B29</f>
        <v/>
      </c>
      <c r="D29" s="10" t="inlineStr">
        <is>
          <t>Precio actual del sitio.</t>
        </is>
      </c>
    </row>
    <row r="30">
      <c r="A30" s="7" t="inlineStr">
        <is>
          <t>Comisión Mercado Pago (%)</t>
        </is>
      </c>
      <c r="B30" s="21" t="n">
        <v>0.07000000000000001</v>
      </c>
      <c r="C30" s="22">
        <f>B30</f>
        <v/>
      </c>
      <c r="D30" s="10" t="inlineStr">
        <is>
          <t>Supuesto: depende del plazo de acreditación y de las cuotas. Verificar en tu cuenta de Mercado Pago.</t>
        </is>
      </c>
    </row>
    <row r="31">
      <c r="A31" s="7" t="inlineStr">
        <is>
          <t>Comisión Shopify por pasarela externa (%)</t>
        </is>
      </c>
      <c r="B31" s="21" t="n">
        <v>0.02</v>
      </c>
      <c r="C31" s="22">
        <f>B31</f>
        <v/>
      </c>
      <c r="D31" s="10" t="inlineStr">
        <is>
          <t>Plan Basic: 2% si no usás Shopify Payments. Verificar según tu plan.</t>
        </is>
      </c>
    </row>
    <row r="32">
      <c r="A32" s="7" t="inlineStr">
        <is>
          <t>Ingresos Brutos (%)</t>
        </is>
      </c>
      <c r="B32" s="21" t="n">
        <v>0.035</v>
      </c>
      <c r="C32" s="22">
        <f>B32</f>
        <v/>
      </c>
      <c r="D32" s="10" t="inlineStr">
        <is>
          <t>Supuesto: varía por jurisdicción y régimen. Confirmar con el contador.</t>
        </is>
      </c>
    </row>
    <row r="33">
      <c r="A33" s="7" t="inlineStr">
        <is>
          <t>Envío que absorbés por unidad (ARS)</t>
        </is>
      </c>
      <c r="B33" s="19" t="n">
        <v>0</v>
      </c>
      <c r="C33" s="20">
        <f>B33</f>
        <v/>
      </c>
      <c r="D33" s="10" t="inlineStr">
        <is>
          <t>Poné el costo si ofrecés envío gratis (por ej., 10000). 0 si lo paga el cliente.</t>
        </is>
      </c>
    </row>
    <row r="34">
      <c r="A34" s="7" t="inlineStr">
        <is>
          <t>Packaging por unidad (ARS)</t>
        </is>
      </c>
      <c r="B34" s="19" t="n">
        <v>0</v>
      </c>
      <c r="C34" s="19" t="n">
        <v>500</v>
      </c>
      <c r="D34" s="10" t="inlineStr">
        <is>
          <t>Caja o bolsa con marca, etiqueta, cinta.</t>
        </is>
      </c>
    </row>
    <row r="35">
      <c r="A35" s="7" t="inlineStr">
        <is>
          <t>Unidades para fotos, regalos o reseñas</t>
        </is>
      </c>
      <c r="B35" s="8" t="n">
        <v>5</v>
      </c>
      <c r="C35" s="8" t="n">
        <v>10</v>
      </c>
      <c r="D35" s="10" t="inlineStr">
        <is>
          <t>No se venden: su costo se reparte entre las vendidas.</t>
        </is>
      </c>
    </row>
    <row r="36">
      <c r="A36" s="7" t="inlineStr">
        <is>
          <t>Costo por venta en anuncios objetivo (ARS)</t>
        </is>
      </c>
      <c r="B36" s="23" t="n">
        <v>25000</v>
      </c>
      <c r="C36" s="24">
        <f>B36</f>
        <v/>
      </c>
      <c r="D36" s="10" t="inlineStr">
        <is>
          <t>Lo que esperás pagar en Meta por cada venta. Ajustalo con los datos de la prueba.</t>
        </is>
      </c>
    </row>
    <row r="37">
      <c r="A37" s="5" t="inlineStr">
        <is>
          <t>4. Resultado por unidad vendida (fórmulas)</t>
        </is>
      </c>
      <c r="B37" s="6" t="n"/>
      <c r="C37" s="6" t="n"/>
      <c r="D37" s="6" t="n"/>
    </row>
    <row r="38">
      <c r="A38" s="7" t="inlineStr">
        <is>
          <t>Comisiones e impuestos sobre la venta (ARS)</t>
        </is>
      </c>
      <c r="B38" s="20">
        <f>B29*(B30+B31+B32)</f>
        <v/>
      </c>
      <c r="C38" s="20">
        <f>C29*(C30+C31+C32)</f>
        <v/>
      </c>
      <c r="D38" s="10" t="inlineStr"/>
    </row>
    <row r="39">
      <c r="A39" s="7" t="inlineStr">
        <is>
          <t>Unidades a la venta</t>
        </is>
      </c>
      <c r="B39" s="9">
        <f>MAX(B7-B35,0)</f>
        <v/>
      </c>
      <c r="C39" s="9">
        <f>MAX(C7-C35,0)</f>
        <v/>
      </c>
      <c r="D39" s="10" t="inlineStr"/>
    </row>
    <row r="40">
      <c r="A40" s="7" t="inlineStr">
        <is>
          <t>Costo por unidad vendida (ARS)</t>
        </is>
      </c>
      <c r="B40" s="20">
        <f>IF(B39&gt;0,B27*B7/B39,0)</f>
        <v/>
      </c>
      <c r="C40" s="20">
        <f>IF(C39&gt;0,C27*C7/C39,0)</f>
        <v/>
      </c>
      <c r="D40" s="10" t="inlineStr">
        <is>
          <t>Incluye el costo de las unidades que regalás o usás para fotos.</t>
        </is>
      </c>
    </row>
    <row r="41">
      <c r="A41" s="16" t="inlineStr">
        <is>
          <t>Margen antes de anuncios (ARS)</t>
        </is>
      </c>
      <c r="B41" s="18">
        <f>B29-B38-B40-B33-B34</f>
        <v/>
      </c>
      <c r="C41" s="18">
        <f>C29-C38-C40-C33-C34</f>
        <v/>
      </c>
      <c r="D41" s="10" t="inlineStr">
        <is>
          <t>Es también el costo máximo por venta en anuncios para no perder (punto de equilibrio).</t>
        </is>
      </c>
    </row>
    <row r="42">
      <c r="A42" s="16" t="inlineStr">
        <is>
          <t>Margen antes de anuncios (%)</t>
        </is>
      </c>
      <c r="B42" s="25">
        <f>IF(B29&gt;0,B41/B29,0)</f>
        <v/>
      </c>
      <c r="C42" s="25">
        <f>IF(C29&gt;0,C41/C29,0)</f>
        <v/>
      </c>
      <c r="D42" s="10" t="inlineStr"/>
    </row>
    <row r="43">
      <c r="A43" s="7" t="inlineStr">
        <is>
          <t>ROAS mínimo para no perder</t>
        </is>
      </c>
      <c r="B43" s="26">
        <f>IF(B41&gt;0,B29/B41,0)</f>
        <v/>
      </c>
      <c r="C43" s="26">
        <f>IF(C41&gt;0,C29/C41,0)</f>
        <v/>
      </c>
      <c r="D43" s="10" t="inlineStr">
        <is>
          <t>Ventas ÷ inversión en anuncios. En Meta tiene que ser mayor a este número.</t>
        </is>
      </c>
    </row>
    <row r="44">
      <c r="A44" s="16" t="inlineStr">
        <is>
          <t>Ganancia por unidad con el costo por venta objetivo (ARS)</t>
        </is>
      </c>
      <c r="B44" s="18">
        <f>B41-B36</f>
        <v/>
      </c>
      <c r="C44" s="18">
        <f>C41-C36</f>
        <v/>
      </c>
      <c r="D44" s="10" t="inlineStr"/>
    </row>
    <row r="45">
      <c r="A45" s="16" t="inlineStr">
        <is>
          <t>Ganancia del lote vendiendo todo (ARS)</t>
        </is>
      </c>
      <c r="B45" s="18">
        <f>B44*B39</f>
        <v/>
      </c>
      <c r="C45" s="18">
        <f>C44*C39</f>
        <v/>
      </c>
      <c r="D45" s="10" t="inlineStr"/>
    </row>
    <row r="47">
      <c r="A47" s="27" t="inlineStr">
        <is>
          <t>Notas</t>
        </is>
      </c>
    </row>
    <row r="48">
      <c r="A48" s="28" t="inlineStr">
        <is>
          <t>• Prueba aérea: con los datos de la proforma y del despachante, el costo puesto da ~US$ 29,41 por cojín. Sirve para validar, no para ganar.</t>
        </is>
      </c>
    </row>
    <row r="49">
      <c r="A49" s="28" t="inlineStr">
        <is>
          <t>• Barco: los valores amarillos son estimaciones. Reemplazalos por la cotización real del despachante antes de decidir.</t>
        </is>
      </c>
    </row>
    <row r="50">
      <c r="A50" s="28" t="inlineStr">
        <is>
          <t>• Si sos responsable inscripto, el IVA de importación se recupera pero el precio de venta incluye IVA a pagar: pedí al contador el cálculo exacto.</t>
        </is>
      </c>
    </row>
    <row r="51">
      <c r="A51" s="28" t="inlineStr">
        <is>
          <t>• El costo por venta en anuncios se conoce recién con la prueba: medilo en el Administrador de anuncios de Meta (resultado "Compras").</t>
        </is>
      </c>
    </row>
  </sheetData>
  <mergeCells count="5">
    <mergeCell ref="A50:D50"/>
    <mergeCell ref="A48:D48"/>
    <mergeCell ref="A51:D51"/>
    <mergeCell ref="A47:D47"/>
    <mergeCell ref="A49:D4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2026-10-14T23:51:07Z</dcterms:created>
  <dcterms:modified xsi:type="dcterms:W3CDTF">2026-10-14T23:51:07Z</dcterms:modified>
</cp:coreProperties>
</file>